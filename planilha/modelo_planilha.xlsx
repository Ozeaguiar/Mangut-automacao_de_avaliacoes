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vendas" sheetId="3" state="visible" r:id="rId5"/>
    <sheet name="respostas" sheetId="4" state="visible" r:id="rId6"/>
    <sheet name="anali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<sst xmlns="http://schemas.openxmlformats.org/spreadsheetml/2006/main" count="87" uniqueCount="79">
  <si>
    <t xml:space="preserve">Como usar esta planilha</t>
  </si>
  <si>
    <t xml:space="preserve">O que você preenche</t>
  </si>
  <si>
    <t xml:space="preserve">Só a aba `vendas`, e só as colunas com fundo amarelo: id_venda, data_compra, nome, email, telefone, produto.</t>
  </si>
  <si>
    <t xml:space="preserve">O que o n8n preenche</t>
  </si>
  <si>
    <t xml:space="preserve">`vendas.token` e `vendas.convite_enviado_em` (workflow 1); a aba `respostas` inteira (workflow 2); a aba `analise` e as colunas sentimento/temas/analisado_em (workflow 3).</t>
  </si>
  <si>
    <t xml:space="preserve">Não renomeie colunas</t>
  </si>
  <si>
    <t xml:space="preserve">Os nodes do Google Sheets casam pelo NOME do cabeçalho. Renomear uma coluna quebra o workflow com erro de schema.</t>
  </si>
  <si>
    <t xml:space="preserve">Não apague a linha 1</t>
  </si>
  <si>
    <t xml:space="preserve">É a linha de cabeçalho de cada aba.</t>
  </si>
  <si>
    <t xml:space="preserve">`painel`</t>
  </si>
  <si>
    <t xml:space="preserve">Fórmulas ao vivo sobre a aba `respostas`. Não precisa mexer.</t>
  </si>
  <si>
    <t xml:space="preserve">Abas</t>
  </si>
  <si>
    <t xml:space="preserve">leia-me · painel · vendas · respostas · analise</t>
  </si>
  <si>
    <t xml:space="preserve">Para começar</t>
  </si>
  <si>
    <t xml:space="preserve">1. Suba este arquivo no Google Drive e abra como Planilhas Google.
2. Na aba `vendas`, troque os e-mails de exemplo pelo seu.
3. Copie o ID da planilha da URL e cole no node `Configuração` dos três workflows.
4. Rode o workflow 1 manualmente: o convite chega no seu e-mail.</t>
  </si>
  <si>
    <t xml:space="preserve">Legenda:</t>
  </si>
  <si>
    <t xml:space="preserve">célula amarela = você preenche   ·   célula branca = o n8n preenche</t>
  </si>
  <si>
    <t xml:space="preserve">Painel de satisfação</t>
  </si>
  <si>
    <t xml:space="preserve">Atualiza sozinho conforme as respostas chegam na aba `respostas`.</t>
  </si>
  <si>
    <t xml:space="preserve">Respostas recebidas</t>
  </si>
  <si>
    <t xml:space="preserve">Nota média</t>
  </si>
  <si>
    <t xml:space="preserve">NPS</t>
  </si>
  <si>
    <t xml:space="preserve">Distribuição das notas</t>
  </si>
  <si>
    <t xml:space="preserve">Promotores (9–10)</t>
  </si>
  <si>
    <t xml:space="preserve">Neutros (7–8)</t>
  </si>
  <si>
    <t xml:space="preserve">Detratores (0–6)</t>
  </si>
  <si>
    <t xml:space="preserve">Total</t>
  </si>
  <si>
    <t xml:space="preserve">Sentimento (preenchido pelo workflow 3)</t>
  </si>
  <si>
    <t xml:space="preserve">Positivo</t>
  </si>
  <si>
    <t xml:space="preserve">Neutro</t>
  </si>
  <si>
    <t xml:space="preserve">Negativo</t>
  </si>
  <si>
    <t xml:space="preserve">NPS = % de promotores − % de detratores. Varia de −100 a +100; acima de 50 costuma ser considerado ótimo.</t>
  </si>
  <si>
    <t xml:space="preserve">id_venda</t>
  </si>
  <si>
    <t xml:space="preserve">data_compra</t>
  </si>
  <si>
    <t xml:space="preserve">nome</t>
  </si>
  <si>
    <t xml:space="preserve">email</t>
  </si>
  <si>
    <t xml:space="preserve">telefone</t>
  </si>
  <si>
    <t xml:space="preserve">produto</t>
  </si>
  <si>
    <t xml:space="preserve">token</t>
  </si>
  <si>
    <t xml:space="preserve">convite_enviado_em</t>
  </si>
  <si>
    <t xml:space="preserve">V-1001</t>
  </si>
  <si>
    <t xml:space="preserve">2026-08-16</t>
  </si>
  <si>
    <t xml:space="preserve">Gustavo Silva</t>
  </si>
  <si>
    <t xml:space="preserve">troque-pelo-seu@email.com</t>
  </si>
  <si>
    <t xml:space="preserve">11987654321</t>
  </si>
  <si>
    <t xml:space="preserve">Fone Bluetooth Aurora X2</t>
  </si>
  <si>
    <t xml:space="preserve">V-1002</t>
  </si>
  <si>
    <t xml:space="preserve">2026-08-17</t>
  </si>
  <si>
    <t xml:space="preserve">Marina Duarte</t>
  </si>
  <si>
    <t xml:space="preserve">21996541230</t>
  </si>
  <si>
    <t xml:space="preserve">Cafeteira Prensa Nórdica</t>
  </si>
  <si>
    <t xml:space="preserve">V-1003</t>
  </si>
  <si>
    <t xml:space="preserve">Rafael Nunes</t>
  </si>
  <si>
    <t xml:space="preserve">31998887766</t>
  </si>
  <si>
    <t xml:space="preserve">Luminária de Arco Bruma</t>
  </si>
  <si>
    <t xml:space="preserve">↑ Linhas de exemplo (fundo amarelo). Troque o e-mail pelo seu para testar e apague o que não usar. As colunas token e convite_enviado_em são preenchidas pelo n8n — deixe em branco.</t>
  </si>
  <si>
    <t xml:space="preserve">id_resposta</t>
  </si>
  <si>
    <t xml:space="preserve">respondido_em</t>
  </si>
  <si>
    <t xml:space="preserve">nota</t>
  </si>
  <si>
    <t xml:space="preserve">classificacao_nps</t>
  </si>
  <si>
    <t xml:space="preserve">observacoes</t>
  </si>
  <si>
    <t xml:space="preserve">sentimento</t>
  </si>
  <si>
    <t xml:space="preserve">temas</t>
  </si>
  <si>
    <t xml:space="preserve">analisado_em</t>
  </si>
  <si>
    <t xml:space="preserve">gerado_em</t>
  </si>
  <si>
    <t xml:space="preserve">periodo_de</t>
  </si>
  <si>
    <t xml:space="preserve">periodo_ate</t>
  </si>
  <si>
    <t xml:space="preserve">respostas</t>
  </si>
  <si>
    <t xml:space="preserve">nps</t>
  </si>
  <si>
    <t xml:space="preserve">nota_media</t>
  </si>
  <si>
    <t xml:space="preserve">promotores</t>
  </si>
  <si>
    <t xml:space="preserve">neutros</t>
  </si>
  <si>
    <t xml:space="preserve">detratores</t>
  </si>
  <si>
    <t xml:space="preserve">sentimento_positivo</t>
  </si>
  <si>
    <t xml:space="preserve">sentimento_neutro</t>
  </si>
  <si>
    <t xml:space="preserve">sentimento_negativo</t>
  </si>
  <si>
    <t xml:space="preserve">temas_principais</t>
  </si>
  <si>
    <t xml:space="preserve">resumo</t>
  </si>
  <si>
    <t xml:space="preserve">acoes_sugeridas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</si>
</sst>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0B0B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"/>
      <color rgb="FF52514E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4"/>
        <bgColor rgb="FFF5F5F3"/>
      </patternFill>
    </fill>
    <fill>
      <patternFill patternType="solid">
        <fgColor rgb="FFF5F5F3"/>
        <bgColor rgb="FFFFFFFF"/>
      </patternFill>
    </fill>
    <fill>
      <patternFill patternType="solid">
        <fgColor rgb="FF2A78D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4"/>
      </left>
      <right style="thin">
        <color rgb="FFD9D8D4"/>
      </right>
      <top style="thin">
        <color rgb="FFD9D8D4"/>
      </top>
      <bottom style="thin">
        <color rgb="FFD9D8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F5F5F3"/>
      <rgbColor rgb="FF660066"/>
      <rgbColor rgb="FFFF8080"/>
      <rgbColor rgb="FF0066CC"/>
      <rgbColor rgb="FFD9D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0</v>
      </c>
    </row>
    <row r="5" customFormat="false" ht="30" hidden="false" customHeight="true" outlineLevel="0" collapsed="false">
      <c r="B5" s="2" t="s">
        <v>1</v>
      </c>
      <c r="C5" s="3" t="s">
        <v>2</v>
      </c>
    </row>
    <row r="6" customFormat="false" ht="30" hidden="false" customHeight="true" outlineLevel="0" collapsed="false">
      <c r="B6" s="2" t="s">
        <v>3</v>
      </c>
      <c r="C6" s="3" t="s">
        <v>4</v>
      </c>
    </row>
    <row r="7" customFormat="false" ht="30" hidden="false" customHeight="true" outlineLevel="0" collapsed="false">
      <c r="B7" s="2" t="s">
        <v>5</v>
      </c>
      <c r="C7" s="3" t="s">
        <v>6</v>
      </c>
    </row>
    <row r="8" customFormat="false" ht="15" hidden="false" customHeight="true" outlineLevel="0" collapsed="false">
      <c r="B8" s="2" t="s">
        <v>7</v>
      </c>
      <c r="C8" s="3" t="s">
        <v>8</v>
      </c>
    </row>
    <row r="9" customFormat="false" ht="15" hidden="false" customHeight="true" outlineLevel="0" collapsed="false">
      <c r="B9" s="2" t="s">
        <v>9</v>
      </c>
      <c r="C9" s="3" t="s">
        <v>10</v>
      </c>
    </row>
    <row r="11" customFormat="false" ht="15" hidden="false" customHeight="true" outlineLevel="0" collapsed="false">
      <c r="B11" s="2" t="s">
        <v>11</v>
      </c>
      <c r="C11" s="3" t="s">
        <v>12</v>
      </c>
    </row>
    <row r="13" customFormat="false" ht="90" hidden="false" customHeight="true" outlineLevel="0" collapsed="false">
      <c r="B13" s="2" t="s">
        <v>13</v>
      </c>
      <c r="C13" s="3" t="s">
        <v>14</v>
      </c>
    </row>
    <row r="15" customFormat="false" ht="15" hidden="false" customHeight="false" outlineLevel="0" collapsed="false">
      <c r="B15" s="4" t="s">
        <v>15</v>
      </c>
      <c r="C15" s="5" t="s">
        <v>16</v>
      </c>
    </row>
    <row r="16" customFormat="false" ht="15" hidden="false" customHeight="false" outlineLevel="0" collapsed="false">
      <c r="B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1" t="s">
        <v>17</v>
      </c>
    </row>
    <row r="3" customFormat="false" ht="15" hidden="false" customHeight="false" outlineLevel="0" collapsed="false">
      <c r="B3" s="5" t="s">
        <v>18</v>
      </c>
    </row>
    <row r="5" customFormat="false" ht="15" hidden="false" customHeight="false" outlineLevel="0" collapsed="false">
      <c r="B5" s="7" t="s">
        <v>19</v>
      </c>
      <c r="D5" s="7" t="s">
        <v>20</v>
      </c>
      <c r="F5" s="7" t="s">
        <v>21</v>
      </c>
    </row>
    <row r="6" customFormat="false" ht="24.45" hidden="false" customHeight="false" outlineLevel="0" collapsed="false">
      <c r="B6" s="8" t="n">
        <f aca="false">COUNT(respostas!H2:H2000)</f>
        <v>0</v>
      </c>
      <c r="D6" s="9" t="n">
        <f aca="false">IFERROR(AVERAGE(respostas!H2:H2000),0)</f>
        <v>0</v>
      </c>
      <c r="F6" s="8" t="n">
        <f aca="false">IFERROR(ROUND((COUNTIF(respostas!H2:H2000,"&gt;=9")-COUNTIF(respostas!H2:H2000,"&lt;=6"))/COUNT(respostas!H2:H2000)*100,0),0)</f>
        <v>0</v>
      </c>
    </row>
    <row r="8" customFormat="false" ht="15" hidden="false" customHeight="false" outlineLevel="0" collapsed="false">
      <c r="B8" s="10" t="s">
        <v>22</v>
      </c>
    </row>
    <row r="9" customFormat="false" ht="15" hidden="false" customHeight="false" outlineLevel="0" collapsed="false">
      <c r="B9" s="11" t="s">
        <v>23</v>
      </c>
      <c r="C9" s="12" t="n">
        <f aca="false">COUNTIF(respostas!H2:H2000,"&gt;=9")</f>
        <v>0</v>
      </c>
      <c r="D9" s="13" t="n">
        <f aca="false">IFERROR(C9/$C$13,0)</f>
        <v>0</v>
      </c>
    </row>
    <row r="10" customFormat="false" ht="15" hidden="false" customHeight="false" outlineLevel="0" collapsed="false">
      <c r="B10" s="14" t="s">
        <v>24</v>
      </c>
      <c r="C10" s="15" t="n">
        <f aca="false">COUNTIFS(respostas!H2:H2000,"&gt;=7",respostas!H2:H2000,"&lt;=8")</f>
        <v>0</v>
      </c>
      <c r="D10" s="16" t="n">
        <f aca="false">IFERROR(C10/$C$13,0)</f>
        <v>0</v>
      </c>
    </row>
    <row r="11" customFormat="false" ht="15" hidden="false" customHeight="false" outlineLevel="0" collapsed="false">
      <c r="B11" s="11" t="s">
        <v>25</v>
      </c>
      <c r="C11" s="12" t="n">
        <f aca="false">COUNTIF(respostas!H2:H2000,"&lt;=6")</f>
        <v>0</v>
      </c>
      <c r="D11" s="13" t="n">
        <f aca="false">IFERROR(C11/$C$13,0)</f>
        <v>0</v>
      </c>
    </row>
    <row r="13" customFormat="false" ht="15" hidden="false" customHeight="false" outlineLevel="0" collapsed="false">
      <c r="B13" s="17" t="s">
        <v>26</v>
      </c>
      <c r="C13" s="18" t="n">
        <f aca="false">SUM(C9:C11)</f>
        <v>0</v>
      </c>
    </row>
    <row r="15" customFormat="false" ht="15" hidden="false" customHeight="false" outlineLevel="0" collapsed="false">
      <c r="B15" s="10" t="s">
        <v>27</v>
      </c>
    </row>
    <row r="16" customFormat="false" ht="15" hidden="false" customHeight="false" outlineLevel="0" collapsed="false">
      <c r="B16" s="19" t="s">
        <v>28</v>
      </c>
      <c r="C16" s="20" t="n">
        <f aca="false">COUNTIF(respostas!K2:K2000,"positivo")</f>
        <v>0</v>
      </c>
    </row>
    <row r="17" customFormat="false" ht="15" hidden="false" customHeight="false" outlineLevel="0" collapsed="false">
      <c r="B17" s="19" t="s">
        <v>29</v>
      </c>
      <c r="C17" s="20" t="n">
        <f aca="false">COUNTIF(respostas!K2:K2000,"neutro")</f>
        <v>0</v>
      </c>
    </row>
    <row r="18" customFormat="false" ht="15" hidden="false" customHeight="false" outlineLevel="0" collapsed="false">
      <c r="B18" s="19" t="s">
        <v>30</v>
      </c>
      <c r="C18" s="20" t="n">
        <f aca="false">COUNTIF(respostas!K2:K2000,"negativo")</f>
        <v>0</v>
      </c>
    </row>
    <row r="20" customFormat="false" ht="15" hidden="false" customHeight="false" outlineLevel="0" collapsed="false">
      <c r="B20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28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21" t="s">
        <v>32</v>
      </c>
      <c r="B1" s="21" t="s">
        <v>33</v>
      </c>
      <c r="C1" s="21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</row>
    <row r="2" customFormat="false" ht="15" hidden="false" customHeight="false" outlineLevel="0" collapsed="false">
      <c r="A2" s="22" t="s">
        <v>40</v>
      </c>
      <c r="B2" s="22" t="s">
        <v>41</v>
      </c>
      <c r="C2" s="22" t="s">
        <v>42</v>
      </c>
      <c r="D2" s="22" t="s">
        <v>43</v>
      </c>
      <c r="E2" s="22" t="s">
        <v>44</v>
      </c>
      <c r="F2" s="22" t="s">
        <v>45</v>
      </c>
    </row>
    <row r="3" customFormat="false" ht="15" hidden="false" customHeight="false" outlineLevel="0" collapsed="false">
      <c r="A3" s="22" t="s">
        <v>46</v>
      </c>
      <c r="B3" s="22" t="s">
        <v>47</v>
      </c>
      <c r="C3" s="22" t="s">
        <v>48</v>
      </c>
      <c r="D3" s="22" t="s">
        <v>43</v>
      </c>
      <c r="E3" s="22" t="s">
        <v>49</v>
      </c>
      <c r="F3" s="22" t="s">
        <v>50</v>
      </c>
    </row>
    <row r="4" customFormat="false" ht="15" hidden="false" customHeight="false" outlineLevel="0" collapsed="false">
      <c r="A4" s="22" t="s">
        <v>51</v>
      </c>
      <c r="B4" s="22" t="s">
        <v>47</v>
      </c>
      <c r="C4" s="22" t="s">
        <v>52</v>
      </c>
      <c r="D4" s="22" t="s">
        <v>43</v>
      </c>
      <c r="E4" s="22" t="s">
        <v>53</v>
      </c>
      <c r="F4" s="22" t="s">
        <v>54</v>
      </c>
    </row>
    <row r="6" customFormat="false" ht="15" hidden="false" customHeight="false" outlineLevel="0" collapsed="false">
      <c r="A6" s="23" t="s">
        <v>55</v>
      </c>
      <c r="B6" s="23"/>
      <c r="C6" s="23"/>
      <c r="D6" s="23"/>
      <c r="E6" s="23"/>
      <c r="F6" s="23"/>
      <c r="G6" s="23"/>
      <c r="H6" s="23"/>
    </row>
  </sheetData>
  <mergeCells count="1"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9" min="8" style="0" width="18"/>
    <col collapsed="false" customWidth="true" hidden="false" outlineLevel="0" max="10" min="10" style="0" width="52"/>
    <col collapsed="false" customWidth="true" hidden="false" outlineLevel="0" max="12" min="11" style="0" width="18"/>
    <col collapsed="false" customWidth="true" hidden="false" outlineLevel="0" max="13" min="13" style="0" width="22"/>
  </cols>
  <sheetData>
    <row r="1" customFormat="false" ht="21.75" hidden="false" customHeight="true" outlineLevel="0" collapsed="false">
      <c r="A1" s="21" t="s">
        <v>56</v>
      </c>
      <c r="B1" s="21" t="s">
        <v>32</v>
      </c>
      <c r="C1" s="21" t="s">
        <v>57</v>
      </c>
      <c r="D1" s="21" t="s">
        <v>34</v>
      </c>
      <c r="E1" s="21" t="s">
        <v>35</v>
      </c>
      <c r="F1" s="21" t="s">
        <v>36</v>
      </c>
      <c r="G1" s="21" t="s">
        <v>37</v>
      </c>
      <c r="H1" s="21" t="s">
        <v>58</v>
      </c>
      <c r="I1" s="21" t="s">
        <v>59</v>
      </c>
      <c r="J1" s="21" t="s">
        <v>60</v>
      </c>
      <c r="K1" s="21" t="s">
        <v>61</v>
      </c>
      <c r="L1" s="21" t="s">
        <v>62</v>
      </c>
      <c r="M1" s="2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  <col collapsed="false" customWidth="true" hidden="false" outlineLevel="0" max="13" min="13" style="0" width="42"/>
    <col collapsed="false" customWidth="true" hidden="false" outlineLevel="0" max="14" min="14" style="0" width="60"/>
    <col collapsed="false" customWidth="true" hidden="false" outlineLevel="0" max="15" min="15" style="0" width="42"/>
  </cols>
  <sheetData>
    <row r="1" customFormat="false" ht="21.75" hidden="false" customHeight="true" outlineLevel="0" collapsed="false">
      <c r="A1" s="21" t="s">
        <v>64</v>
      </c>
      <c r="B1" s="21" t="s">
        <v>65</v>
      </c>
      <c r="C1" s="21" t="s">
        <v>66</v>
      </c>
      <c r="D1" s="21" t="s">
        <v>67</v>
      </c>
      <c r="E1" s="21" t="s">
        <v>68</v>
      </c>
      <c r="F1" s="21" t="s">
        <v>69</v>
      </c>
      <c r="G1" s="21" t="s">
        <v>70</v>
      </c>
      <c r="H1" s="21" t="s">
        <v>71</v>
      </c>
      <c r="I1" s="21" t="s">
        <v>72</v>
      </c>
      <c r="J1" s="21" t="s">
        <v>73</v>
      </c>
      <c r="K1" s="21" t="s">
        <v>74</v>
      </c>
      <c r="L1" s="21" t="s">
        <v>75</v>
      </c>
      <c r="M1" s="21" t="s">
        <v>76</v>
      </c>
      <c r="N1" s="21" t="s">
        <v>77</v>
      </c>
      <c r="O1" s="2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2026-08-19T16:59:17Z</dcterms:created>
  <dc:creator>openpyxl</dc:creator>
  <dc:description/>
  <dc:language>en-US</dc:language>
  <cp:lastModifiedBy/>
  <dcterms:modified xsi:type="dcterms:W3CDTF">2026-08-19T16:59:17Z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